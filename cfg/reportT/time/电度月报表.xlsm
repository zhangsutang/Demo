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4955" windowHeight="8895"/>
  </bookViews>
  <sheets>
    <sheet name="电度月报表目录" sheetId="2" r:id="rId1"/>
    <sheet name="电度月报表1" sheetId="3" r:id="rId2"/>
    <sheet name="电度月报表2" sheetId="4" r:id="rId3"/>
    <sheet name="电度月报表3" sheetId="5" r:id="rId4"/>
  </sheets>
  <calcPr calcId="124519"/>
</workbook>
</file>

<file path=xl/calcChain.xml><?xml version="1.0" encoding="utf-8"?>
<calcChain xmlns="http://schemas.openxmlformats.org/spreadsheetml/2006/main">
  <c r="C39" i="5"/>
  <c r="C38"/>
  <c r="C37"/>
  <c r="C36"/>
  <c r="B39"/>
  <c r="B38"/>
  <c r="B37"/>
  <c r="B36"/>
  <c r="D38" i="4"/>
  <c r="D36"/>
  <c r="K36"/>
  <c r="M39"/>
  <c r="M38"/>
  <c r="M37"/>
  <c r="M36"/>
  <c r="L39"/>
  <c r="L38"/>
  <c r="L37"/>
  <c r="L36"/>
  <c r="K39"/>
  <c r="K38"/>
  <c r="K37"/>
  <c r="J39"/>
  <c r="J38"/>
  <c r="J37"/>
  <c r="J36"/>
  <c r="I39"/>
  <c r="I38"/>
  <c r="I37"/>
  <c r="I36"/>
  <c r="H39"/>
  <c r="H38"/>
  <c r="H37"/>
  <c r="H36"/>
  <c r="G39"/>
  <c r="G38"/>
  <c r="G37"/>
  <c r="G36"/>
  <c r="F39"/>
  <c r="F38"/>
  <c r="F37"/>
  <c r="F36"/>
  <c r="E39"/>
  <c r="E38"/>
  <c r="E37"/>
  <c r="E36"/>
  <c r="C37"/>
  <c r="D39"/>
  <c r="D37"/>
  <c r="C39"/>
  <c r="C38"/>
  <c r="C36"/>
  <c r="B39"/>
  <c r="B38"/>
  <c r="B37"/>
  <c r="B36"/>
  <c r="B39" i="3"/>
  <c r="B38"/>
  <c r="B37"/>
  <c r="C39"/>
  <c r="C38"/>
  <c r="C37"/>
  <c r="F37"/>
  <c r="D39"/>
  <c r="D38"/>
  <c r="D37"/>
  <c r="E39"/>
  <c r="E38"/>
  <c r="E37"/>
  <c r="F39"/>
  <c r="F38"/>
  <c r="G39"/>
  <c r="G38"/>
  <c r="G37"/>
  <c r="H39"/>
  <c r="H38"/>
  <c r="H37"/>
  <c r="I39"/>
  <c r="I38"/>
  <c r="I37"/>
  <c r="J39"/>
  <c r="J38"/>
  <c r="J37"/>
  <c r="K39"/>
  <c r="K38"/>
  <c r="K37"/>
  <c r="L39"/>
  <c r="L38"/>
  <c r="M39"/>
  <c r="M38"/>
  <c r="L37"/>
  <c r="M37"/>
  <c r="M36"/>
  <c r="L36"/>
  <c r="K36"/>
  <c r="J36"/>
  <c r="I36"/>
  <c r="H36"/>
  <c r="G36"/>
  <c r="F36"/>
  <c r="E36"/>
  <c r="D36"/>
  <c r="C36"/>
  <c r="B36"/>
</calcChain>
</file>

<file path=xl/comments1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!=3.1.1.255.255.1.1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!=3.1.2.255.255.1.1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!=3.1.5.255.255.1.1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!=3.1.6.255.255.1.1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!=3.1.13.255.255.1.1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!=3.1.14.255.255.1.1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!=3.1.21.255.255.1.1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!=3.1.22.255.255.1.1</t>
        </r>
      </text>
    </comment>
    <comment ref="J5" authorId="0">
      <text>
        <r>
          <rPr>
            <sz val="9"/>
            <color indexed="81"/>
            <rFont val="Tahoma"/>
            <family val="2"/>
          </rPr>
          <t>!=3.1.22.255.255.1.1</t>
        </r>
      </text>
    </comment>
    <comment ref="K5" authorId="0">
      <text>
        <r>
          <rPr>
            <sz val="9"/>
            <color indexed="81"/>
            <rFont val="Tahoma"/>
            <family val="2"/>
          </rPr>
          <t>!=3.1.30.255.255.1.1</t>
        </r>
      </text>
    </comment>
    <comment ref="L5" authorId="0">
      <text>
        <r>
          <rPr>
            <sz val="9"/>
            <color indexed="81"/>
            <rFont val="Tahoma"/>
            <family val="2"/>
          </rPr>
          <t>!=3.1.30.255.255.1.1</t>
        </r>
      </text>
    </comment>
    <comment ref="M5" authorId="0">
      <text>
        <r>
          <rPr>
            <sz val="9"/>
            <color indexed="81"/>
            <rFont val="Tahoma"/>
            <family val="2"/>
          </rPr>
          <t>!=3.1.30.255.255.1.1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6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7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8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9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0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1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2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3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4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5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6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7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8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19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1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1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1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0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1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2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3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4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5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6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6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7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7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8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8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29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9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9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9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9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9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9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9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29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2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2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29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30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30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30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30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30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30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30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30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30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3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3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30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31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31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31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31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31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31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31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31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31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3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3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31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32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32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32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32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32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32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32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32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32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3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3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32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33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33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33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33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33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33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33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33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33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3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3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33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34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34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34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34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34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34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34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34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34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3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3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34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B35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35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35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35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35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35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35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35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J35" authorId="0">
      <text>
        <r>
          <rPr>
            <sz val="9"/>
            <color indexed="81"/>
            <rFont val="Tahoma"/>
            <family val="2"/>
          </rPr>
          <t>!=3.1.22.255.255.24.1</t>
        </r>
      </text>
    </comment>
    <comment ref="K3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L3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  <comment ref="M35" authorId="0">
      <text>
        <r>
          <rPr>
            <sz val="9"/>
            <color indexed="81"/>
            <rFont val="Tahoma"/>
            <family val="2"/>
          </rPr>
          <t>!=3.1.30.255.255.24.1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!=3.1.49.255.255.1.1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!=3.1.50.255.255.1.1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!=3.1.53.255.255.1.1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!=3.1.54.255.255.1.1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!=3.1.61.255.255.1.1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!=3.1.62.255.255.1.1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!=3.1.69.255.255.1.1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!=3.1.70.255.255.1.1</t>
        </r>
      </text>
    </comment>
    <comment ref="J5" authorId="0">
      <text>
        <r>
          <rPr>
            <sz val="9"/>
            <color indexed="81"/>
            <rFont val="Tahoma"/>
            <family val="2"/>
          </rPr>
          <t>!=3.1.77.255.255.1.1</t>
        </r>
      </text>
    </comment>
    <comment ref="K5" authorId="0">
      <text>
        <r>
          <rPr>
            <sz val="9"/>
            <color indexed="81"/>
            <rFont val="Tahoma"/>
            <family val="2"/>
          </rPr>
          <t>!=3.1.78.255.255.1.1</t>
        </r>
      </text>
    </comment>
    <comment ref="L5" authorId="0">
      <text>
        <r>
          <rPr>
            <sz val="9"/>
            <color indexed="81"/>
            <rFont val="Tahoma"/>
            <family val="2"/>
          </rPr>
          <t>!=3.1.85.255.255.1.1</t>
        </r>
      </text>
    </comment>
    <comment ref="M5" authorId="0">
      <text>
        <r>
          <rPr>
            <sz val="9"/>
            <color indexed="81"/>
            <rFont val="Tahoma"/>
            <family val="2"/>
          </rPr>
          <t>!=3.1.86.255.255.1.1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6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6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6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6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7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7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7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7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8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8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8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8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9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9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9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9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0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0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0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0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1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1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1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1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2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2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2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2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3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3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3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3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4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4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4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4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5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5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5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5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6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6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6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6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7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7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7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7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8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8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8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8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19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19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19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19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0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0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0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0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1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1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1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1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2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2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2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2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3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3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3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3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4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4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4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4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5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5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5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6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6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6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6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7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7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7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7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8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8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8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8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29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29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9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9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9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9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9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9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9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9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9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9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30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30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30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30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30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30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30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30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30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30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30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30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31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31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31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31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31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31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31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31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31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31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31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31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32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32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32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32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32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32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32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32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32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32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32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32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33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33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33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33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33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33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33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33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33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33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33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33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34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34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34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34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34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34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34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34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34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34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34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34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  <comment ref="B35" authorId="0">
      <text>
        <r>
          <rPr>
            <sz val="9"/>
            <color indexed="81"/>
            <rFont val="Tahoma"/>
            <family val="2"/>
          </rPr>
          <t>!=3.1.49.255.255.24.1</t>
        </r>
      </text>
    </comment>
    <comment ref="C35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35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35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35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35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35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35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35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35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35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35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!=3.1.45.255.255.1.1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!=3.1.46.255.255.1.1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29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29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30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30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31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31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32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32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33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33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34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34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B35" authorId="0">
      <text>
        <r>
          <rPr>
            <sz val="9"/>
            <color indexed="81"/>
            <rFont val="Tahoma"/>
            <family val="2"/>
          </rPr>
          <t>!=3.1.45.255.255.24.1</t>
        </r>
      </text>
    </comment>
    <comment ref="C35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</commentList>
</comments>
</file>

<file path=xl/sharedStrings.xml><?xml version="1.0" encoding="utf-8"?>
<sst xmlns="http://schemas.openxmlformats.org/spreadsheetml/2006/main" count="201" uniqueCount="61">
  <si>
    <t>电度月报表目录</t>
  </si>
  <si>
    <t>报表编号</t>
  </si>
  <si>
    <t>内容描述</t>
  </si>
  <si>
    <t>电度月报表1</t>
  </si>
  <si>
    <t>备用</t>
  </si>
  <si>
    <t>电度月报表4</t>
  </si>
  <si>
    <t>电度月报表2</t>
  </si>
  <si>
    <t>电度月报表5</t>
  </si>
  <si>
    <t>电度月报表一</t>
  </si>
  <si>
    <t>设备</t>
  </si>
  <si>
    <t xml:space="preserve"> 参数</t>
  </si>
  <si>
    <t>1日</t>
  </si>
  <si>
    <t>2日</t>
  </si>
  <si>
    <t>3日</t>
  </si>
  <si>
    <t>4日</t>
  </si>
  <si>
    <t>5日</t>
  </si>
  <si>
    <t>6日</t>
  </si>
  <si>
    <t>7日</t>
  </si>
  <si>
    <t>8日</t>
  </si>
  <si>
    <t>9日</t>
  </si>
  <si>
    <t>10日</t>
  </si>
  <si>
    <t>11日</t>
  </si>
  <si>
    <t>12日</t>
  </si>
  <si>
    <t>13日</t>
  </si>
  <si>
    <t>14日</t>
  </si>
  <si>
    <t>15日</t>
  </si>
  <si>
    <t>16日</t>
  </si>
  <si>
    <t>17日</t>
  </si>
  <si>
    <t>18日</t>
  </si>
  <si>
    <t>19日</t>
  </si>
  <si>
    <t>20日</t>
  </si>
  <si>
    <t>21日</t>
  </si>
  <si>
    <t>22日</t>
  </si>
  <si>
    <t>23日</t>
  </si>
  <si>
    <t>24日</t>
  </si>
  <si>
    <t>25日</t>
  </si>
  <si>
    <t>26日</t>
  </si>
  <si>
    <t>27日</t>
  </si>
  <si>
    <t>28日</t>
  </si>
  <si>
    <t>29日</t>
  </si>
  <si>
    <t>30日</t>
  </si>
  <si>
    <t>31日</t>
  </si>
  <si>
    <t>最大值</t>
  </si>
  <si>
    <t>最小值</t>
  </si>
  <si>
    <t>月合计</t>
  </si>
  <si>
    <t>平均值</t>
  </si>
  <si>
    <t>有功总</t>
    <phoneticPr fontId="1" type="noConversion"/>
  </si>
  <si>
    <t>无功总</t>
    <phoneticPr fontId="1" type="noConversion"/>
  </si>
  <si>
    <t>1#35kV变</t>
    <phoneticPr fontId="1" type="noConversion"/>
  </si>
  <si>
    <t>1#10kV变</t>
    <phoneticPr fontId="1" type="noConversion"/>
  </si>
  <si>
    <t>1#电容器</t>
    <phoneticPr fontId="1" type="noConversion"/>
  </si>
  <si>
    <t>1#馈线1</t>
    <phoneticPr fontId="1" type="noConversion"/>
  </si>
  <si>
    <t>1#馈线2</t>
    <phoneticPr fontId="1" type="noConversion"/>
  </si>
  <si>
    <t>1#馈线3</t>
    <phoneticPr fontId="1" type="noConversion"/>
  </si>
  <si>
    <t>2#35kV变</t>
    <phoneticPr fontId="1" type="noConversion"/>
  </si>
  <si>
    <t>2#10kV变</t>
    <phoneticPr fontId="1" type="noConversion"/>
  </si>
  <si>
    <t>2#电容器</t>
    <phoneticPr fontId="1" type="noConversion"/>
  </si>
  <si>
    <t>2#馈线1</t>
    <phoneticPr fontId="1" type="noConversion"/>
  </si>
  <si>
    <t>2#馈线2</t>
    <phoneticPr fontId="1" type="noConversion"/>
  </si>
  <si>
    <t>母联</t>
    <phoneticPr fontId="1" type="noConversion"/>
  </si>
  <si>
    <t>备用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</si>
</sst>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yyyy&quot;年&quot;m&quot;月&quot;;@"/>
  </numFmts>
  <fonts count="13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name val="楷体_GB2312"/>
      <family val="3"/>
      <charset val="134"/>
    </font>
    <font>
      <sz val="11"/>
      <name val="宋体"/>
      <family val="3"/>
      <charset val="134"/>
    </font>
    <font>
      <sz val="11"/>
      <name val="Times New Roman"/>
      <family val="1"/>
    </font>
    <font>
      <sz val="10"/>
      <name val="宋体"/>
      <family val="3"/>
      <charset val="134"/>
    </font>
    <font>
      <b/>
      <sz val="24"/>
      <name val="宋体"/>
      <family val="3"/>
      <charset val="134"/>
    </font>
    <font>
      <b/>
      <sz val="16"/>
      <name val="宋体"/>
      <family val="3"/>
      <charset val="134"/>
    </font>
    <font>
      <b/>
      <sz val="20"/>
      <name val="宋体"/>
      <family val="3"/>
      <charset val="134"/>
    </font>
    <font>
      <b/>
      <sz val="20"/>
      <name val="Times New Roman"/>
      <family val="1"/>
    </font>
    <font>
      <b/>
      <sz val="14"/>
      <name val="宋体"/>
      <family val="3"/>
      <charset val="134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7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8" fillId="0" borderId="2" xfId="1" applyFont="1" applyBorder="1" applyAlignment="1">
      <alignment horizontal="center" vertical="center"/>
    </xf>
    <xf numFmtId="0" fontId="2" fillId="0" borderId="2" xfId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49" fontId="3" fillId="0" borderId="1" xfId="2" applyNumberFormat="1" applyFont="1" applyBorder="1" applyAlignment="1">
      <alignment horizontal="right" vertical="center" wrapText="1"/>
    </xf>
    <xf numFmtId="0" fontId="6" fillId="0" borderId="2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0" fontId="6" fillId="0" borderId="4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49" fontId="6" fillId="0" borderId="6" xfId="2" applyNumberFormat="1" applyFont="1" applyBorder="1" applyAlignment="1">
      <alignment horizontal="center" vertical="center"/>
    </xf>
    <xf numFmtId="49" fontId="6" fillId="0" borderId="7" xfId="2" applyNumberFormat="1" applyFont="1" applyBorder="1" applyAlignment="1">
      <alignment horizontal="center" vertical="center"/>
    </xf>
    <xf numFmtId="49" fontId="6" fillId="0" borderId="8" xfId="2" applyNumberFormat="1" applyFont="1" applyBorder="1" applyAlignment="1">
      <alignment horizontal="center" vertical="center"/>
    </xf>
    <xf numFmtId="0" fontId="3" fillId="0" borderId="2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49" fontId="6" fillId="0" borderId="1" xfId="2" applyNumberFormat="1" applyFont="1" applyBorder="1" applyAlignment="1">
      <alignment horizontal="center" vertical="center"/>
    </xf>
    <xf numFmtId="0" fontId="6" fillId="0" borderId="2" xfId="2" applyNumberFormat="1" applyFont="1" applyBorder="1" applyAlignment="1">
      <alignment horizontal="center" vertical="center"/>
    </xf>
    <xf numFmtId="0" fontId="6" fillId="0" borderId="3" xfId="2" applyNumberFormat="1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0" fontId="6" fillId="0" borderId="10" xfId="2" applyFont="1" applyBorder="1" applyAlignment="1">
      <alignment horizontal="center" vertical="center"/>
    </xf>
    <xf numFmtId="49" fontId="3" fillId="0" borderId="11" xfId="2" applyNumberFormat="1" applyFont="1" applyBorder="1" applyAlignment="1">
      <alignment horizontal="right" vertical="center"/>
    </xf>
    <xf numFmtId="49" fontId="3" fillId="0" borderId="1" xfId="4" applyNumberFormat="1" applyFont="1" applyBorder="1" applyAlignment="1">
      <alignment horizontal="right" vertical="center" wrapText="1"/>
    </xf>
    <xf numFmtId="0" fontId="6" fillId="0" borderId="2" xfId="4" applyFont="1" applyBorder="1" applyAlignment="1">
      <alignment horizontal="center" vertical="center"/>
    </xf>
    <xf numFmtId="0" fontId="6" fillId="0" borderId="3" xfId="4" applyFont="1" applyBorder="1" applyAlignment="1">
      <alignment horizontal="center" vertical="center"/>
    </xf>
    <xf numFmtId="0" fontId="6" fillId="0" borderId="4" xfId="4" applyFont="1" applyBorder="1" applyAlignment="1">
      <alignment horizontal="center" vertical="center"/>
    </xf>
    <xf numFmtId="0" fontId="6" fillId="0" borderId="5" xfId="4" applyFont="1" applyBorder="1" applyAlignment="1">
      <alignment horizontal="center" vertical="center"/>
    </xf>
    <xf numFmtId="49" fontId="6" fillId="0" borderId="6" xfId="4" applyNumberFormat="1" applyFont="1" applyBorder="1" applyAlignment="1">
      <alignment horizontal="center" vertical="center"/>
    </xf>
    <xf numFmtId="49" fontId="6" fillId="0" borderId="7" xfId="4" applyNumberFormat="1" applyFont="1" applyBorder="1" applyAlignment="1">
      <alignment horizontal="center" vertical="center"/>
    </xf>
    <xf numFmtId="49" fontId="6" fillId="0" borderId="8" xfId="4" applyNumberFormat="1" applyFont="1" applyBorder="1" applyAlignment="1">
      <alignment horizontal="center" vertical="center"/>
    </xf>
    <xf numFmtId="0" fontId="3" fillId="0" borderId="2" xfId="4" applyFont="1" applyBorder="1" applyAlignment="1">
      <alignment horizontal="center" vertical="center"/>
    </xf>
    <xf numFmtId="0" fontId="3" fillId="0" borderId="3" xfId="4" applyFont="1" applyBorder="1" applyAlignment="1">
      <alignment horizontal="center" vertical="center"/>
    </xf>
    <xf numFmtId="49" fontId="6" fillId="0" borderId="1" xfId="4" applyNumberFormat="1" applyFont="1" applyBorder="1" applyAlignment="1">
      <alignment horizontal="center" vertical="center"/>
    </xf>
    <xf numFmtId="0" fontId="6" fillId="0" borderId="2" xfId="4" applyNumberFormat="1" applyFont="1" applyBorder="1" applyAlignment="1">
      <alignment horizontal="center" vertical="center"/>
    </xf>
    <xf numFmtId="0" fontId="6" fillId="0" borderId="3" xfId="4" applyNumberFormat="1" applyFont="1" applyBorder="1" applyAlignment="1">
      <alignment horizontal="center" vertical="center"/>
    </xf>
    <xf numFmtId="0" fontId="6" fillId="0" borderId="9" xfId="4" applyFont="1" applyBorder="1" applyAlignment="1">
      <alignment horizontal="center" vertical="center"/>
    </xf>
    <xf numFmtId="0" fontId="6" fillId="0" borderId="10" xfId="4" applyFont="1" applyBorder="1" applyAlignment="1">
      <alignment horizontal="center" vertical="center"/>
    </xf>
    <xf numFmtId="49" fontId="3" fillId="0" borderId="11" xfId="4" applyNumberFormat="1" applyFont="1" applyBorder="1" applyAlignment="1">
      <alignment horizontal="right" vertical="center"/>
    </xf>
    <xf numFmtId="49" fontId="3" fillId="0" borderId="1" xfId="6" applyNumberFormat="1" applyFont="1" applyBorder="1" applyAlignment="1">
      <alignment horizontal="right" vertical="center" wrapText="1"/>
    </xf>
    <xf numFmtId="0" fontId="6" fillId="0" borderId="2" xfId="6" applyFont="1" applyBorder="1" applyAlignment="1">
      <alignment horizontal="center" vertical="center"/>
    </xf>
    <xf numFmtId="0" fontId="6" fillId="0" borderId="3" xfId="6" applyFont="1" applyBorder="1" applyAlignment="1">
      <alignment horizontal="center" vertical="center"/>
    </xf>
    <xf numFmtId="0" fontId="6" fillId="0" borderId="4" xfId="6" applyFont="1" applyBorder="1" applyAlignment="1">
      <alignment horizontal="center" vertical="center"/>
    </xf>
    <xf numFmtId="0" fontId="6" fillId="0" borderId="5" xfId="6" applyFont="1" applyBorder="1" applyAlignment="1">
      <alignment horizontal="center" vertical="center"/>
    </xf>
    <xf numFmtId="49" fontId="6" fillId="0" borderId="6" xfId="6" applyNumberFormat="1" applyFont="1" applyBorder="1" applyAlignment="1">
      <alignment horizontal="center" vertical="center"/>
    </xf>
    <xf numFmtId="49" fontId="6" fillId="0" borderId="7" xfId="6" applyNumberFormat="1" applyFont="1" applyBorder="1" applyAlignment="1">
      <alignment horizontal="center" vertical="center"/>
    </xf>
    <xf numFmtId="49" fontId="6" fillId="0" borderId="8" xfId="6" applyNumberFormat="1" applyFont="1" applyBorder="1" applyAlignment="1">
      <alignment horizontal="center" vertical="center"/>
    </xf>
    <xf numFmtId="0" fontId="3" fillId="0" borderId="2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49" fontId="6" fillId="0" borderId="1" xfId="6" applyNumberFormat="1" applyFont="1" applyBorder="1" applyAlignment="1">
      <alignment horizontal="center" vertical="center"/>
    </xf>
    <xf numFmtId="0" fontId="6" fillId="0" borderId="2" xfId="6" applyNumberFormat="1" applyFont="1" applyBorder="1" applyAlignment="1">
      <alignment horizontal="center" vertical="center"/>
    </xf>
    <xf numFmtId="0" fontId="6" fillId="0" borderId="3" xfId="6" applyNumberFormat="1" applyFont="1" applyBorder="1" applyAlignment="1">
      <alignment horizontal="center" vertical="center"/>
    </xf>
    <xf numFmtId="0" fontId="6" fillId="0" borderId="9" xfId="6" applyFont="1" applyBorder="1" applyAlignment="1">
      <alignment horizontal="center" vertical="center"/>
    </xf>
    <xf numFmtId="0" fontId="6" fillId="0" borderId="10" xfId="6" applyFont="1" applyBorder="1" applyAlignment="1">
      <alignment horizontal="center" vertical="center"/>
    </xf>
    <xf numFmtId="49" fontId="3" fillId="0" borderId="11" xfId="6" applyNumberFormat="1" applyFont="1" applyBorder="1" applyAlignment="1">
      <alignment horizontal="right" vertical="center"/>
    </xf>
    <xf numFmtId="0" fontId="2" fillId="0" borderId="2" xfId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9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4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76" fontId="11" fillId="0" borderId="13" xfId="2" applyNumberFormat="1" applyFont="1" applyBorder="1" applyAlignment="1">
      <alignment horizontal="center" vertical="center"/>
    </xf>
    <xf numFmtId="0" fontId="9" fillId="0" borderId="0" xfId="4" applyFont="1" applyBorder="1" applyAlignment="1">
      <alignment horizontal="center" vertical="center"/>
    </xf>
    <xf numFmtId="0" fontId="10" fillId="0" borderId="0" xfId="4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0" fillId="0" borderId="17" xfId="0" applyBorder="1" applyAlignment="1">
      <alignment vertical="center"/>
    </xf>
    <xf numFmtId="176" fontId="11" fillId="0" borderId="13" xfId="4" applyNumberFormat="1" applyFont="1" applyBorder="1" applyAlignment="1">
      <alignment horizontal="center" vertical="center"/>
    </xf>
    <xf numFmtId="0" fontId="9" fillId="0" borderId="0" xfId="6" applyFont="1" applyBorder="1" applyAlignment="1">
      <alignment horizontal="center" vertical="center"/>
    </xf>
    <xf numFmtId="0" fontId="10" fillId="0" borderId="0" xfId="6" applyFont="1" applyBorder="1" applyAlignment="1">
      <alignment horizontal="center" vertical="center"/>
    </xf>
    <xf numFmtId="0" fontId="0" fillId="0" borderId="15" xfId="0" applyBorder="1" applyAlignment="1">
      <alignment vertical="center"/>
    </xf>
    <xf numFmtId="176" fontId="11" fillId="0" borderId="13" xfId="6" applyNumberFormat="1" applyFont="1" applyBorder="1" applyAlignment="1">
      <alignment horizontal="center" vertical="center"/>
    </xf>
  </cellXfs>
  <cellStyles count="8">
    <cellStyle name="常规" xfId="0" builtinId="0"/>
    <cellStyle name="常规 2" xfId="1"/>
    <cellStyle name="常规 2 2" xfId="3"/>
    <cellStyle name="常规 2 3" xfId="5"/>
    <cellStyle name="常规 2 4" xfId="7"/>
    <cellStyle name="常规 3" xfId="2"/>
    <cellStyle name="常规 4" xfId="4"/>
    <cellStyle name="常规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4"/>
  <sheetViews>
    <sheetView tabSelected="1" workbookViewId="0">
      <selection activeCell="C23" sqref="C23"/>
    </sheetView>
  </sheetViews>
  <sheetFormatPr defaultRowHeight="14.25"/>
  <cols>
    <col min="1" max="1" width="18.625" style="1" customWidth="1"/>
    <col min="2" max="2" width="21" style="1" customWidth="1"/>
    <col min="3" max="3" width="19.375" style="1" customWidth="1"/>
    <col min="4" max="4" width="24.375" style="1" customWidth="1"/>
    <col min="5" max="16384" width="9" style="1"/>
  </cols>
  <sheetData>
    <row r="1" spans="1:4" ht="31.5">
      <c r="A1" s="54" t="s">
        <v>0</v>
      </c>
      <c r="B1" s="54"/>
      <c r="C1" s="54"/>
      <c r="D1" s="54"/>
    </row>
    <row r="2" spans="1:4" ht="20.25">
      <c r="A2" s="2" t="s">
        <v>1</v>
      </c>
      <c r="B2" s="2" t="s">
        <v>2</v>
      </c>
      <c r="C2" s="2" t="s">
        <v>1</v>
      </c>
      <c r="D2" s="2" t="s">
        <v>2</v>
      </c>
    </row>
    <row r="3" spans="1:4">
      <c r="A3" s="53" t="s">
        <v>3</v>
      </c>
      <c r="B3" s="3" t="s">
        <v>4</v>
      </c>
      <c r="C3" s="53" t="s">
        <v>5</v>
      </c>
      <c r="D3" s="3" t="s">
        <v>4</v>
      </c>
    </row>
    <row r="4" spans="1:4">
      <c r="A4" s="53"/>
      <c r="B4" s="3" t="s">
        <v>4</v>
      </c>
      <c r="C4" s="53"/>
      <c r="D4" s="3" t="s">
        <v>4</v>
      </c>
    </row>
    <row r="5" spans="1:4">
      <c r="A5" s="53"/>
      <c r="B5" s="3" t="s">
        <v>4</v>
      </c>
      <c r="C5" s="53"/>
      <c r="D5" s="3" t="s">
        <v>4</v>
      </c>
    </row>
    <row r="6" spans="1:4">
      <c r="A6" s="53"/>
      <c r="B6" s="3" t="s">
        <v>4</v>
      </c>
      <c r="C6" s="53"/>
      <c r="D6" s="3" t="s">
        <v>4</v>
      </c>
    </row>
    <row r="7" spans="1:4">
      <c r="A7" s="53"/>
      <c r="B7" s="3" t="s">
        <v>4</v>
      </c>
      <c r="C7" s="53"/>
      <c r="D7" s="3" t="s">
        <v>4</v>
      </c>
    </row>
    <row r="8" spans="1:4">
      <c r="A8" s="53"/>
      <c r="B8" s="3" t="s">
        <v>4</v>
      </c>
      <c r="C8" s="53"/>
      <c r="D8" s="3" t="s">
        <v>4</v>
      </c>
    </row>
    <row r="9" spans="1:4">
      <c r="A9" s="53" t="s">
        <v>6</v>
      </c>
      <c r="B9" s="3" t="s">
        <v>4</v>
      </c>
      <c r="C9" s="53" t="s">
        <v>7</v>
      </c>
      <c r="D9" s="3" t="s">
        <v>4</v>
      </c>
    </row>
    <row r="10" spans="1:4">
      <c r="A10" s="53"/>
      <c r="B10" s="3" t="s">
        <v>4</v>
      </c>
      <c r="C10" s="53"/>
      <c r="D10" s="3" t="s">
        <v>4</v>
      </c>
    </row>
    <row r="11" spans="1:4">
      <c r="A11" s="53"/>
      <c r="B11" s="3" t="s">
        <v>4</v>
      </c>
      <c r="C11" s="53"/>
      <c r="D11" s="3" t="s">
        <v>4</v>
      </c>
    </row>
    <row r="12" spans="1:4">
      <c r="A12" s="53"/>
      <c r="B12" s="3" t="s">
        <v>4</v>
      </c>
      <c r="C12" s="53"/>
      <c r="D12" s="3" t="s">
        <v>4</v>
      </c>
    </row>
    <row r="13" spans="1:4">
      <c r="A13" s="53"/>
      <c r="B13" s="3" t="s">
        <v>4</v>
      </c>
      <c r="C13" s="53"/>
      <c r="D13" s="3" t="s">
        <v>4</v>
      </c>
    </row>
    <row r="14" spans="1:4">
      <c r="A14" s="53"/>
      <c r="B14" s="3" t="s">
        <v>4</v>
      </c>
      <c r="C14" s="53"/>
      <c r="D14" s="3" t="s">
        <v>4</v>
      </c>
    </row>
  </sheetData>
  <mergeCells count="5">
    <mergeCell ref="C3:C8"/>
    <mergeCell ref="C9:C14"/>
    <mergeCell ref="A1:D1"/>
    <mergeCell ref="A3:A8"/>
    <mergeCell ref="A9:A14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M39"/>
  <sheetViews>
    <sheetView topLeftCell="A9" workbookViewId="0">
      <selection activeCell="M36" sqref="M36"/>
    </sheetView>
  </sheetViews>
  <sheetFormatPr defaultRowHeight="14.25"/>
  <sheetData>
    <row r="1" spans="1:13" ht="25.5">
      <c r="A1" s="55" t="s">
        <v>8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</row>
    <row r="2" spans="1:13" ht="19.5" thickBot="1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</row>
    <row r="3" spans="1:13" ht="15">
      <c r="A3" s="20" t="s">
        <v>9</v>
      </c>
      <c r="B3" s="57" t="s">
        <v>48</v>
      </c>
      <c r="C3" s="58"/>
      <c r="D3" s="57" t="s">
        <v>49</v>
      </c>
      <c r="E3" s="58"/>
      <c r="F3" s="57" t="s">
        <v>50</v>
      </c>
      <c r="G3" s="58"/>
      <c r="H3" s="57" t="s">
        <v>51</v>
      </c>
      <c r="I3" s="58"/>
      <c r="J3" s="59" t="s">
        <v>52</v>
      </c>
      <c r="K3" s="60"/>
      <c r="L3" s="59" t="s">
        <v>53</v>
      </c>
      <c r="M3" s="60"/>
    </row>
    <row r="4" spans="1:13">
      <c r="A4" s="5" t="s">
        <v>10</v>
      </c>
      <c r="B4" s="13" t="s">
        <v>46</v>
      </c>
      <c r="C4" s="13" t="s">
        <v>47</v>
      </c>
      <c r="D4" s="13" t="s">
        <v>46</v>
      </c>
      <c r="E4" s="13" t="s">
        <v>47</v>
      </c>
      <c r="F4" s="13" t="s">
        <v>46</v>
      </c>
      <c r="G4" s="13" t="s">
        <v>47</v>
      </c>
      <c r="H4" s="13" t="s">
        <v>46</v>
      </c>
      <c r="I4" s="13" t="s">
        <v>47</v>
      </c>
      <c r="J4" s="13" t="s">
        <v>46</v>
      </c>
      <c r="K4" s="13" t="s">
        <v>47</v>
      </c>
      <c r="L4" s="13" t="s">
        <v>46</v>
      </c>
      <c r="M4" s="14" t="s">
        <v>47</v>
      </c>
    </row>
    <row r="5" spans="1:13">
      <c r="A5" s="15" t="s">
        <v>11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7"/>
    </row>
    <row r="6" spans="1:13">
      <c r="A6" s="10" t="s">
        <v>12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7"/>
    </row>
    <row r="7" spans="1:13">
      <c r="A7" s="10" t="s">
        <v>13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7"/>
    </row>
    <row r="8" spans="1:13">
      <c r="A8" s="10" t="s">
        <v>14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7"/>
    </row>
    <row r="9" spans="1:13">
      <c r="A9" s="10" t="s">
        <v>15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7"/>
    </row>
    <row r="10" spans="1:13">
      <c r="A10" s="10" t="s">
        <v>16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7"/>
    </row>
    <row r="11" spans="1:13">
      <c r="A11" s="10" t="s">
        <v>17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7"/>
    </row>
    <row r="12" spans="1:13">
      <c r="A12" s="10" t="s">
        <v>18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7"/>
    </row>
    <row r="13" spans="1:13">
      <c r="A13" s="10" t="s">
        <v>19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7"/>
    </row>
    <row r="14" spans="1:13">
      <c r="A14" s="10" t="s">
        <v>20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"/>
    </row>
    <row r="15" spans="1:13">
      <c r="A15" s="10" t="s">
        <v>21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7"/>
    </row>
    <row r="16" spans="1:13">
      <c r="A16" s="10" t="s">
        <v>22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7"/>
    </row>
    <row r="17" spans="1:13">
      <c r="A17" s="10" t="s">
        <v>23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7"/>
    </row>
    <row r="18" spans="1:13">
      <c r="A18" s="10" t="s">
        <v>24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7"/>
    </row>
    <row r="19" spans="1:13">
      <c r="A19" s="10" t="s">
        <v>25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7"/>
    </row>
    <row r="20" spans="1:13">
      <c r="A20" s="10" t="s">
        <v>26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7"/>
    </row>
    <row r="21" spans="1:13">
      <c r="A21" s="10" t="s">
        <v>27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7"/>
    </row>
    <row r="22" spans="1:13">
      <c r="A22" s="10" t="s">
        <v>28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7"/>
    </row>
    <row r="23" spans="1:13">
      <c r="A23" s="10" t="s">
        <v>29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7"/>
    </row>
    <row r="24" spans="1:13">
      <c r="A24" s="10" t="s">
        <v>30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7"/>
    </row>
    <row r="25" spans="1:13">
      <c r="A25" s="10" t="s">
        <v>31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7"/>
    </row>
    <row r="26" spans="1:13">
      <c r="A26" s="10" t="s">
        <v>32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7"/>
    </row>
    <row r="27" spans="1:13">
      <c r="A27" s="10" t="s">
        <v>33</v>
      </c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7"/>
    </row>
    <row r="28" spans="1:13">
      <c r="A28" s="10" t="s">
        <v>34</v>
      </c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7"/>
    </row>
    <row r="29" spans="1:13">
      <c r="A29" s="15" t="s">
        <v>35</v>
      </c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7"/>
    </row>
    <row r="30" spans="1:13">
      <c r="A30" s="10" t="s">
        <v>36</v>
      </c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7"/>
    </row>
    <row r="31" spans="1:13">
      <c r="A31" s="10" t="s">
        <v>37</v>
      </c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7"/>
    </row>
    <row r="32" spans="1:13">
      <c r="A32" s="10" t="s">
        <v>38</v>
      </c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7"/>
    </row>
    <row r="33" spans="1:13">
      <c r="A33" s="10" t="s">
        <v>39</v>
      </c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9"/>
    </row>
    <row r="34" spans="1:13">
      <c r="A34" s="10" t="s">
        <v>40</v>
      </c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7"/>
    </row>
    <row r="35" spans="1:13">
      <c r="A35" s="10" t="s">
        <v>41</v>
      </c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7"/>
    </row>
    <row r="36" spans="1:13">
      <c r="A36" s="10" t="s">
        <v>42</v>
      </c>
      <c r="B36" s="6">
        <f>MAX(B5:B35)</f>
        <v>0</v>
      </c>
      <c r="C36" s="6">
        <f>MAX(C5:C35)</f>
        <v>0</v>
      </c>
      <c r="D36" s="6">
        <f>MAX(D5:D35)</f>
        <v>0</v>
      </c>
      <c r="E36" s="6">
        <f>MAX(E5:E35)</f>
        <v>0</v>
      </c>
      <c r="F36" s="6">
        <f>MAX(F5:F35)</f>
        <v>0</v>
      </c>
      <c r="G36" s="6">
        <f>MAX(G5:G35)</f>
        <v>0</v>
      </c>
      <c r="H36" s="6">
        <f>MAX(H5:H35)</f>
        <v>0</v>
      </c>
      <c r="I36" s="6">
        <f>MAX(I5:I35)</f>
        <v>0</v>
      </c>
      <c r="J36" s="6">
        <f>MAX(J5:J35)</f>
        <v>0</v>
      </c>
      <c r="K36" s="6">
        <f>MAX(K5:K35)</f>
        <v>0</v>
      </c>
      <c r="L36" s="6">
        <f>MAX(L5:L35)</f>
        <v>0</v>
      </c>
      <c r="M36" s="7">
        <f>MAX(M5:M35)</f>
        <v>0</v>
      </c>
    </row>
    <row r="37" spans="1:13">
      <c r="A37" s="11" t="s">
        <v>43</v>
      </c>
      <c r="B37" s="6">
        <f>MIN(B5:B35)</f>
        <v>0</v>
      </c>
      <c r="C37" s="6">
        <f>MIN(C5:C35)</f>
        <v>0</v>
      </c>
      <c r="D37" s="6">
        <f>MIN(D5:D35)</f>
        <v>0</v>
      </c>
      <c r="E37" s="6">
        <f>MIN(E5:E35)</f>
        <v>0</v>
      </c>
      <c r="F37" s="6">
        <f>MIN(F5:F35)</f>
        <v>0</v>
      </c>
      <c r="G37" s="6">
        <f>MIN(G5:G35)</f>
        <v>0</v>
      </c>
      <c r="H37" s="6">
        <f>MIN(H5:H35)</f>
        <v>0</v>
      </c>
      <c r="I37" s="6">
        <f>MIN(I5:I35)</f>
        <v>0</v>
      </c>
      <c r="J37" s="6">
        <f>MIN(J5:J35)</f>
        <v>0</v>
      </c>
      <c r="K37" s="6">
        <f>MIN(K5:K35)</f>
        <v>0</v>
      </c>
      <c r="L37" s="6">
        <f>MIN(L5:L35)</f>
        <v>0</v>
      </c>
      <c r="M37" s="7">
        <f>MIN(M5:M35)</f>
        <v>0</v>
      </c>
    </row>
    <row r="38" spans="1:13">
      <c r="A38" s="10" t="s">
        <v>44</v>
      </c>
      <c r="B38" s="16">
        <f>SUM(B5:B35)</f>
        <v>0</v>
      </c>
      <c r="C38" s="16">
        <f>SUM(C5:C35)</f>
        <v>0</v>
      </c>
      <c r="D38" s="16">
        <f>SUM(D5:D35)</f>
        <v>0</v>
      </c>
      <c r="E38" s="16">
        <f>SUM(E5:E35)</f>
        <v>0</v>
      </c>
      <c r="F38" s="16">
        <f>SUM(F5:F35)</f>
        <v>0</v>
      </c>
      <c r="G38" s="16">
        <f>SUM(G5:G35)</f>
        <v>0</v>
      </c>
      <c r="H38" s="16">
        <f>SUM(H5:H35)</f>
        <v>0</v>
      </c>
      <c r="I38" s="16">
        <f>SUM(I5:I35)</f>
        <v>0</v>
      </c>
      <c r="J38" s="16">
        <f>SUM(J5:J35)</f>
        <v>0</v>
      </c>
      <c r="K38" s="16">
        <f>SUM(K5:K35)</f>
        <v>0</v>
      </c>
      <c r="L38" s="16">
        <f>SUM(L5:L35)</f>
        <v>0</v>
      </c>
      <c r="M38" s="17">
        <f>SUM(M5:M35)</f>
        <v>0</v>
      </c>
    </row>
    <row r="39" spans="1:13" ht="15" thickBot="1">
      <c r="A39" s="12" t="s">
        <v>45</v>
      </c>
      <c r="B39" s="18" t="e">
        <f>AVERAGE(B5:B35)</f>
        <v>#DIV/0!</v>
      </c>
      <c r="C39" s="18" t="e">
        <f>AVERAGE(C5:C35)</f>
        <v>#DIV/0!</v>
      </c>
      <c r="D39" s="18" t="e">
        <f>AVERAGE(D5:D35)</f>
        <v>#DIV/0!</v>
      </c>
      <c r="E39" s="18" t="e">
        <f>AVERAGE(E5:E35)</f>
        <v>#DIV/0!</v>
      </c>
      <c r="F39" s="18" t="e">
        <f>AVERAGE(F5:F35)</f>
        <v>#DIV/0!</v>
      </c>
      <c r="G39" s="18" t="e">
        <f>AVERAGE(G5:G35)</f>
        <v>#DIV/0!</v>
      </c>
      <c r="H39" s="18" t="e">
        <f>AVERAGE(H5:H35)</f>
        <v>#DIV/0!</v>
      </c>
      <c r="I39" s="18" t="e">
        <f>AVERAGE(I5:I35)</f>
        <v>#DIV/0!</v>
      </c>
      <c r="J39" s="18" t="e">
        <f>AVERAGE(J5:J35)</f>
        <v>#DIV/0!</v>
      </c>
      <c r="K39" s="18" t="e">
        <f>AVERAGE(K5:K35)</f>
        <v>#DIV/0!</v>
      </c>
      <c r="L39" s="18" t="e">
        <f>AVERAGE(L5:L35)</f>
        <v>#DIV/0!</v>
      </c>
      <c r="M39" s="19" t="e">
        <f>AVERAGE(M5:M35)</f>
        <v>#DIV/0!</v>
      </c>
    </row>
  </sheetData>
  <mergeCells count="8">
    <mergeCell ref="A1:M1"/>
    <mergeCell ref="B3:C3"/>
    <mergeCell ref="D3:E3"/>
    <mergeCell ref="F3:G3"/>
    <mergeCell ref="H3:I3"/>
    <mergeCell ref="J3:K3"/>
    <mergeCell ref="L3:M3"/>
    <mergeCell ref="A2:M2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M39"/>
  <sheetViews>
    <sheetView topLeftCell="A9" workbookViewId="0">
      <selection activeCell="P34" sqref="P34"/>
    </sheetView>
  </sheetViews>
  <sheetFormatPr defaultRowHeight="14.25"/>
  <sheetData>
    <row r="1" spans="1:13" ht="25.5">
      <c r="A1" s="62" t="s">
        <v>8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9.5" thickBo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</row>
    <row r="3" spans="1:13" ht="15">
      <c r="A3" s="36" t="s">
        <v>9</v>
      </c>
      <c r="B3" s="57" t="s">
        <v>54</v>
      </c>
      <c r="C3" s="58"/>
      <c r="D3" s="57" t="s">
        <v>55</v>
      </c>
      <c r="E3" s="58"/>
      <c r="F3" s="57" t="s">
        <v>56</v>
      </c>
      <c r="G3" s="58"/>
      <c r="H3" s="57" t="s">
        <v>57</v>
      </c>
      <c r="I3" s="58"/>
      <c r="J3" s="4" t="s">
        <v>58</v>
      </c>
      <c r="L3" s="64" t="s">
        <v>53</v>
      </c>
      <c r="M3" s="65"/>
    </row>
    <row r="4" spans="1:13">
      <c r="A4" s="21" t="s">
        <v>10</v>
      </c>
      <c r="B4" s="29" t="s">
        <v>46</v>
      </c>
      <c r="C4" s="29" t="s">
        <v>47</v>
      </c>
      <c r="D4" s="29" t="s">
        <v>46</v>
      </c>
      <c r="E4" s="29" t="s">
        <v>47</v>
      </c>
      <c r="F4" s="29" t="s">
        <v>46</v>
      </c>
      <c r="G4" s="29" t="s">
        <v>47</v>
      </c>
      <c r="H4" s="29" t="s">
        <v>46</v>
      </c>
      <c r="I4" s="29" t="s">
        <v>47</v>
      </c>
      <c r="J4" s="29" t="s">
        <v>46</v>
      </c>
      <c r="K4" s="29" t="s">
        <v>47</v>
      </c>
      <c r="L4" s="29" t="s">
        <v>46</v>
      </c>
      <c r="M4" s="30" t="s">
        <v>47</v>
      </c>
    </row>
    <row r="5" spans="1:13">
      <c r="A5" s="31" t="s">
        <v>11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3"/>
    </row>
    <row r="6" spans="1:13">
      <c r="A6" s="26" t="s">
        <v>12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3"/>
    </row>
    <row r="7" spans="1:13">
      <c r="A7" s="26" t="s">
        <v>13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3"/>
    </row>
    <row r="8" spans="1:13">
      <c r="A8" s="26" t="s">
        <v>14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3"/>
    </row>
    <row r="9" spans="1:13">
      <c r="A9" s="26" t="s">
        <v>15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3"/>
    </row>
    <row r="10" spans="1:13">
      <c r="A10" s="26" t="s">
        <v>16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3"/>
    </row>
    <row r="11" spans="1:13">
      <c r="A11" s="26" t="s">
        <v>17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3"/>
    </row>
    <row r="12" spans="1:13">
      <c r="A12" s="26" t="s">
        <v>18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3"/>
    </row>
    <row r="13" spans="1:13">
      <c r="A13" s="26" t="s">
        <v>19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3"/>
    </row>
    <row r="14" spans="1:13">
      <c r="A14" s="26" t="s">
        <v>20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3"/>
    </row>
    <row r="15" spans="1:13">
      <c r="A15" s="26" t="s">
        <v>21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3"/>
    </row>
    <row r="16" spans="1:13">
      <c r="A16" s="26" t="s">
        <v>22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3"/>
    </row>
    <row r="17" spans="1:13">
      <c r="A17" s="26" t="s">
        <v>23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3"/>
    </row>
    <row r="18" spans="1:13">
      <c r="A18" s="26" t="s">
        <v>24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3"/>
    </row>
    <row r="19" spans="1:13">
      <c r="A19" s="26" t="s">
        <v>25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3"/>
    </row>
    <row r="20" spans="1:13">
      <c r="A20" s="26" t="s">
        <v>26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3"/>
    </row>
    <row r="21" spans="1:13">
      <c r="A21" s="26" t="s">
        <v>27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3"/>
    </row>
    <row r="22" spans="1:13">
      <c r="A22" s="26" t="s">
        <v>28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3"/>
    </row>
    <row r="23" spans="1:13">
      <c r="A23" s="26" t="s">
        <v>29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3"/>
    </row>
    <row r="24" spans="1:13">
      <c r="A24" s="26" t="s">
        <v>30</v>
      </c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3"/>
    </row>
    <row r="25" spans="1:13">
      <c r="A25" s="26" t="s">
        <v>31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3"/>
    </row>
    <row r="26" spans="1:13">
      <c r="A26" s="26" t="s">
        <v>32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3"/>
    </row>
    <row r="27" spans="1:13">
      <c r="A27" s="26" t="s">
        <v>33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3"/>
    </row>
    <row r="28" spans="1:13">
      <c r="A28" s="26" t="s">
        <v>34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3"/>
    </row>
    <row r="29" spans="1:13">
      <c r="A29" s="31" t="s">
        <v>35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3"/>
    </row>
    <row r="30" spans="1:13">
      <c r="A30" s="26" t="s">
        <v>36</v>
      </c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3"/>
    </row>
    <row r="31" spans="1:13">
      <c r="A31" s="26" t="s">
        <v>37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3"/>
    </row>
    <row r="32" spans="1:13">
      <c r="A32" s="26" t="s">
        <v>38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3"/>
    </row>
    <row r="33" spans="1:13">
      <c r="A33" s="26" t="s">
        <v>39</v>
      </c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5"/>
    </row>
    <row r="34" spans="1:13">
      <c r="A34" s="26" t="s">
        <v>40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3"/>
    </row>
    <row r="35" spans="1:13">
      <c r="A35" s="26" t="s">
        <v>41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3"/>
    </row>
    <row r="36" spans="1:13">
      <c r="A36" s="26" t="s">
        <v>42</v>
      </c>
      <c r="B36" s="22">
        <f>MAX(B5:B35)</f>
        <v>0</v>
      </c>
      <c r="C36" s="22">
        <f>MAX(C5:C35)</f>
        <v>0</v>
      </c>
      <c r="D36" s="22">
        <f>MAX(D5:D35)</f>
        <v>0</v>
      </c>
      <c r="E36" s="22">
        <f>MAX(E5:E35)</f>
        <v>0</v>
      </c>
      <c r="F36" s="22">
        <f>MAX(F5:F35)</f>
        <v>0</v>
      </c>
      <c r="G36" s="22">
        <f>MAX(G5:G35)</f>
        <v>0</v>
      </c>
      <c r="H36" s="22">
        <f>MAX(H5:H35)</f>
        <v>0</v>
      </c>
      <c r="I36" s="22">
        <f>MAX(I5:I35)</f>
        <v>0</v>
      </c>
      <c r="J36" s="22">
        <f>MAX(J5:J35)</f>
        <v>0</v>
      </c>
      <c r="K36" s="22">
        <f>MAX(K5:K35)</f>
        <v>0</v>
      </c>
      <c r="L36" s="22">
        <f>MAX(L5:L35)</f>
        <v>0</v>
      </c>
      <c r="M36" s="23">
        <f>MAX(M5:M35)</f>
        <v>0</v>
      </c>
    </row>
    <row r="37" spans="1:13">
      <c r="A37" s="27" t="s">
        <v>43</v>
      </c>
      <c r="B37" s="22">
        <f>MIN(B5:B35)</f>
        <v>0</v>
      </c>
      <c r="C37" s="22">
        <f>MIN(C5:C35)</f>
        <v>0</v>
      </c>
      <c r="D37" s="22">
        <f>MIN(D5:D35)</f>
        <v>0</v>
      </c>
      <c r="E37" s="22">
        <f>MIN(E5:E35)</f>
        <v>0</v>
      </c>
      <c r="F37" s="22">
        <f>MIN(F5:F35)</f>
        <v>0</v>
      </c>
      <c r="G37" s="22">
        <f>MIN(G5:G35)</f>
        <v>0</v>
      </c>
      <c r="H37" s="22">
        <f>MIN(H5:H35)</f>
        <v>0</v>
      </c>
      <c r="I37" s="22">
        <f>MIN(I5:I35)</f>
        <v>0</v>
      </c>
      <c r="J37" s="22">
        <f>MIN(J5:J35)</f>
        <v>0</v>
      </c>
      <c r="K37" s="22">
        <f>MIN(K5:K35)</f>
        <v>0</v>
      </c>
      <c r="L37" s="22">
        <f>MIN(L5:L35)</f>
        <v>0</v>
      </c>
      <c r="M37" s="23">
        <f>MIN(M5:M35)</f>
        <v>0</v>
      </c>
    </row>
    <row r="38" spans="1:13">
      <c r="A38" s="26" t="s">
        <v>44</v>
      </c>
      <c r="B38" s="32">
        <f>SUM(B5:B35)</f>
        <v>0</v>
      </c>
      <c r="C38" s="32">
        <f>SUM(C5:C35)</f>
        <v>0</v>
      </c>
      <c r="D38" s="32">
        <f>SUM(D5:D35)</f>
        <v>0</v>
      </c>
      <c r="E38" s="32">
        <f>SUM(E5:E35)</f>
        <v>0</v>
      </c>
      <c r="F38" s="32">
        <f>SUM(F5:F35)</f>
        <v>0</v>
      </c>
      <c r="G38" s="32">
        <f>SUM(G5:G35)</f>
        <v>0</v>
      </c>
      <c r="H38" s="32">
        <f>SUM(H5:H35)</f>
        <v>0</v>
      </c>
      <c r="I38" s="32">
        <f>SUM(I5:I35)</f>
        <v>0</v>
      </c>
      <c r="J38" s="32">
        <f>SUM(J5:J35)</f>
        <v>0</v>
      </c>
      <c r="K38" s="32">
        <f>SUM(K5:K35)</f>
        <v>0</v>
      </c>
      <c r="L38" s="32">
        <f>SUM(L5:L35)</f>
        <v>0</v>
      </c>
      <c r="M38" s="33">
        <f>SUM(M5:M35)</f>
        <v>0</v>
      </c>
    </row>
    <row r="39" spans="1:13" ht="15" thickBot="1">
      <c r="A39" s="28" t="s">
        <v>45</v>
      </c>
      <c r="B39" s="34" t="e">
        <f>AVERAGE(B5:B35)</f>
        <v>#DIV/0!</v>
      </c>
      <c r="C39" s="34" t="e">
        <f>AVERAGE(C5:C35)</f>
        <v>#DIV/0!</v>
      </c>
      <c r="D39" s="34" t="e">
        <f>AVERAGE(D5:D35)</f>
        <v>#DIV/0!</v>
      </c>
      <c r="E39" s="34" t="e">
        <f>AVERAGE(E5:E35)</f>
        <v>#DIV/0!</v>
      </c>
      <c r="F39" s="34" t="e">
        <f>AVERAGE(F5:F35)</f>
        <v>#DIV/0!</v>
      </c>
      <c r="G39" s="34" t="e">
        <f>AVERAGE(G5:G35)</f>
        <v>#DIV/0!</v>
      </c>
      <c r="H39" s="34" t="e">
        <f>AVERAGE(H5:H35)</f>
        <v>#DIV/0!</v>
      </c>
      <c r="I39" s="34" t="e">
        <f>AVERAGE(I5:I35)</f>
        <v>#DIV/0!</v>
      </c>
      <c r="J39" s="34" t="e">
        <f>AVERAGE(J5:J35)</f>
        <v>#DIV/0!</v>
      </c>
      <c r="K39" s="34" t="e">
        <f>AVERAGE(K5:K35)</f>
        <v>#DIV/0!</v>
      </c>
      <c r="L39" s="34" t="e">
        <f>AVERAGE(L5:L35)</f>
        <v>#DIV/0!</v>
      </c>
      <c r="M39" s="35" t="e">
        <f>AVERAGE(M5:M35)</f>
        <v>#DIV/0!</v>
      </c>
    </row>
  </sheetData>
  <mergeCells count="7">
    <mergeCell ref="A1:M1"/>
    <mergeCell ref="B3:C3"/>
    <mergeCell ref="D3:E3"/>
    <mergeCell ref="F3:G3"/>
    <mergeCell ref="H3:I3"/>
    <mergeCell ref="L3:M3"/>
    <mergeCell ref="A2:M2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M39"/>
  <sheetViews>
    <sheetView topLeftCell="A9" workbookViewId="0">
      <selection activeCell="C40" sqref="C40"/>
    </sheetView>
  </sheetViews>
  <sheetFormatPr defaultRowHeight="14.25"/>
  <sheetData>
    <row r="1" spans="1:13" ht="25.5">
      <c r="A1" s="67" t="s">
        <v>8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</row>
    <row r="2" spans="1:13" ht="19.5" thickBot="1">
      <c r="A2" s="70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5">
      <c r="A3" s="52" t="s">
        <v>9</v>
      </c>
      <c r="B3" s="57" t="s">
        <v>59</v>
      </c>
      <c r="C3" s="58"/>
      <c r="D3" s="57" t="s">
        <v>60</v>
      </c>
      <c r="E3" s="58"/>
      <c r="F3" s="57" t="s">
        <v>60</v>
      </c>
      <c r="G3" s="58"/>
      <c r="H3" s="57" t="s">
        <v>60</v>
      </c>
      <c r="I3" s="58"/>
      <c r="J3" s="59" t="s">
        <v>60</v>
      </c>
      <c r="K3" s="69"/>
      <c r="L3" s="64" t="s">
        <v>60</v>
      </c>
      <c r="M3" s="65"/>
    </row>
    <row r="4" spans="1:13">
      <c r="A4" s="37" t="s">
        <v>10</v>
      </c>
      <c r="B4" s="45" t="s">
        <v>46</v>
      </c>
      <c r="C4" s="45" t="s">
        <v>47</v>
      </c>
      <c r="D4" s="45" t="s">
        <v>46</v>
      </c>
      <c r="E4" s="45" t="s">
        <v>47</v>
      </c>
      <c r="F4" s="45" t="s">
        <v>46</v>
      </c>
      <c r="G4" s="45" t="s">
        <v>47</v>
      </c>
      <c r="H4" s="45" t="s">
        <v>46</v>
      </c>
      <c r="I4" s="45" t="s">
        <v>47</v>
      </c>
      <c r="J4" s="45" t="s">
        <v>46</v>
      </c>
      <c r="K4" s="45" t="s">
        <v>47</v>
      </c>
      <c r="L4" s="45" t="s">
        <v>46</v>
      </c>
      <c r="M4" s="46" t="s">
        <v>47</v>
      </c>
    </row>
    <row r="5" spans="1:13">
      <c r="A5" s="47" t="s">
        <v>11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9"/>
    </row>
    <row r="6" spans="1:13">
      <c r="A6" s="42" t="s">
        <v>12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9"/>
    </row>
    <row r="7" spans="1:13">
      <c r="A7" s="42" t="s">
        <v>13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9"/>
    </row>
    <row r="8" spans="1:13">
      <c r="A8" s="42" t="s">
        <v>14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9"/>
    </row>
    <row r="9" spans="1:13">
      <c r="A9" s="42" t="s">
        <v>15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9"/>
    </row>
    <row r="10" spans="1:13">
      <c r="A10" s="42" t="s">
        <v>16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9"/>
    </row>
    <row r="11" spans="1:13">
      <c r="A11" s="42" t="s">
        <v>17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9"/>
    </row>
    <row r="12" spans="1:13">
      <c r="A12" s="42" t="s">
        <v>18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</row>
    <row r="13" spans="1:13">
      <c r="A13" s="42" t="s">
        <v>19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9"/>
    </row>
    <row r="14" spans="1:13">
      <c r="A14" s="42" t="s">
        <v>20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9"/>
    </row>
    <row r="15" spans="1:13">
      <c r="A15" s="42" t="s">
        <v>21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9"/>
    </row>
    <row r="16" spans="1:13">
      <c r="A16" s="42" t="s">
        <v>22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9"/>
    </row>
    <row r="17" spans="1:13">
      <c r="A17" s="42" t="s">
        <v>23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9"/>
    </row>
    <row r="18" spans="1:13">
      <c r="A18" s="42" t="s">
        <v>24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9"/>
    </row>
    <row r="19" spans="1:13">
      <c r="A19" s="42" t="s">
        <v>25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9"/>
    </row>
    <row r="20" spans="1:13">
      <c r="A20" s="42" t="s">
        <v>26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9"/>
    </row>
    <row r="21" spans="1:13">
      <c r="A21" s="42" t="s">
        <v>27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9"/>
    </row>
    <row r="22" spans="1:13">
      <c r="A22" s="42" t="s">
        <v>28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9"/>
    </row>
    <row r="23" spans="1:13">
      <c r="A23" s="42" t="s">
        <v>29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9"/>
    </row>
    <row r="24" spans="1:13">
      <c r="A24" s="42" t="s">
        <v>30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9"/>
    </row>
    <row r="25" spans="1:13">
      <c r="A25" s="42" t="s">
        <v>31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9"/>
    </row>
    <row r="26" spans="1:13">
      <c r="A26" s="42" t="s">
        <v>32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9"/>
    </row>
    <row r="27" spans="1:13">
      <c r="A27" s="42" t="s">
        <v>33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9"/>
    </row>
    <row r="28" spans="1:13">
      <c r="A28" s="42" t="s">
        <v>34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9"/>
    </row>
    <row r="29" spans="1:13">
      <c r="A29" s="47" t="s">
        <v>35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9"/>
    </row>
    <row r="30" spans="1:13">
      <c r="A30" s="42" t="s">
        <v>36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9"/>
    </row>
    <row r="31" spans="1:13">
      <c r="A31" s="42" t="s">
        <v>37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</row>
    <row r="32" spans="1:13">
      <c r="A32" s="42" t="s">
        <v>38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9"/>
    </row>
    <row r="33" spans="1:13">
      <c r="A33" s="42" t="s">
        <v>39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1"/>
    </row>
    <row r="34" spans="1:13">
      <c r="A34" s="42" t="s">
        <v>40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9"/>
    </row>
    <row r="35" spans="1:13">
      <c r="A35" s="42" t="s">
        <v>41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9"/>
    </row>
    <row r="36" spans="1:13">
      <c r="A36" s="42" t="s">
        <v>42</v>
      </c>
      <c r="B36" s="38">
        <f>MAX(B5:B35)</f>
        <v>0</v>
      </c>
      <c r="C36" s="38">
        <f>MAX(C5:C35)</f>
        <v>0</v>
      </c>
      <c r="D36" s="38">
        <v>0</v>
      </c>
      <c r="E36" s="38">
        <v>0</v>
      </c>
      <c r="F36" s="38">
        <v>0</v>
      </c>
      <c r="G36" s="38">
        <v>0</v>
      </c>
      <c r="H36" s="38">
        <v>0</v>
      </c>
      <c r="I36" s="38">
        <v>0</v>
      </c>
      <c r="J36" s="38">
        <v>0</v>
      </c>
      <c r="K36" s="38">
        <v>0</v>
      </c>
      <c r="L36" s="38">
        <v>0</v>
      </c>
      <c r="M36" s="39">
        <v>0</v>
      </c>
    </row>
    <row r="37" spans="1:13">
      <c r="A37" s="43" t="s">
        <v>43</v>
      </c>
      <c r="B37" s="38">
        <f>MIN(B5:B35)</f>
        <v>0</v>
      </c>
      <c r="C37" s="38">
        <f>MIN(C5:C35)</f>
        <v>0</v>
      </c>
      <c r="D37" s="38">
        <v>0</v>
      </c>
      <c r="E37" s="38">
        <v>0</v>
      </c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v>0</v>
      </c>
      <c r="L37" s="38">
        <v>0</v>
      </c>
      <c r="M37" s="39">
        <v>0</v>
      </c>
    </row>
    <row r="38" spans="1:13">
      <c r="A38" s="42" t="s">
        <v>44</v>
      </c>
      <c r="B38" s="48">
        <f>SUM(B5:B35)</f>
        <v>0</v>
      </c>
      <c r="C38" s="48">
        <f>SUM(C5:C35)</f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9">
        <v>0</v>
      </c>
    </row>
    <row r="39" spans="1:13" ht="15" thickBot="1">
      <c r="A39" s="44" t="s">
        <v>45</v>
      </c>
      <c r="B39" s="50" t="e">
        <f>AVERAGE(B5:B35)</f>
        <v>#DIV/0!</v>
      </c>
      <c r="C39" s="50" t="e">
        <f>AVERAGE(C5:C35)</f>
        <v>#DIV/0!</v>
      </c>
      <c r="D39" s="50"/>
      <c r="E39" s="50"/>
      <c r="F39" s="50"/>
      <c r="G39" s="50"/>
      <c r="H39" s="50"/>
      <c r="I39" s="50"/>
      <c r="J39" s="50"/>
      <c r="K39" s="50"/>
      <c r="L39" s="50"/>
      <c r="M39" s="51"/>
    </row>
  </sheetData>
  <mergeCells count="8">
    <mergeCell ref="A1:M1"/>
    <mergeCell ref="B3:C3"/>
    <mergeCell ref="D3:E3"/>
    <mergeCell ref="F3:G3"/>
    <mergeCell ref="H3:I3"/>
    <mergeCell ref="J3:K3"/>
    <mergeCell ref="L3:M3"/>
    <mergeCell ref="A2:M2"/>
  </mergeCells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电度月报表目录</vt:lpstr>
      <vt:lpstr>电度月报表1</vt:lpstr>
      <vt:lpstr>电度月报表2</vt:lpstr>
      <vt:lpstr>电度月报表3</vt:lpstr>
    </vt:vector>
  </TitlesOfParts>
  <Company>Wanlida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2007-09-26T10:39:26Z</dcterms:created>
  <dcterms:modified xsi:type="dcterms:W3CDTF">2015-06-24T01:19:57Z</dcterms:modified>
</cp:coreProperties>
</file>